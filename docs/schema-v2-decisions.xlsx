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1 to v2 Decisions" sheetId="1" state="visible" r:id="rId3"/>
    <sheet name="Data issues found" sheetId="2" state="visible" r:id="rId4"/>
  </sheets>
  <definedNames>
    <definedName function="false" hidden="true" localSheetId="0" name="_xlnm._FilterDatabase" vbProcedure="false">'v1 to v2 Decisions'!$A$4:$J$23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<sst xmlns="http://schemas.openxmlformats.org/spreadsheetml/2006/main" count="196" uniqueCount="120">
  <si>
    <t xml:space="preserve">Coffee Chain Database — Schema v1 → v2 Decisions</t>
  </si>
  <si>
    <t xml:space="preserve">วิธีใช้: เลือกในคอลัมน์ I (Decision) เป็น Keep / Drop / Later แล้วจดเหตุผลเพิ่มในคอลัมน์ J ได้ · คอลัมน์ H คือคำแนะนำ (มาจากการวิเคราะห์ไฟล์ pj2sec02gr09db.sql)</t>
  </si>
  <si>
    <t xml:space="preserve">#</t>
  </si>
  <si>
    <t xml:space="preserve">Group</t>
  </si>
  <si>
    <t xml:space="preserve">Group name</t>
  </si>
  <si>
    <t xml:space="preserve">Table</t>
  </si>
  <si>
    <t xml:space="preserve">v1 (current)</t>
  </si>
  <si>
    <t xml:space="preserve">v2 (proposed)</t>
  </si>
  <si>
    <t xml:space="preserve">Reason</t>
  </si>
  <si>
    <t xml:space="preserve">Recommendation</t>
  </si>
  <si>
    <t xml:space="preserve">Decision</t>
  </si>
  <si>
    <t xml:space="preserve">Notes</t>
  </si>
  <si>
    <t xml:space="preserve">Summary</t>
  </si>
  <si>
    <t xml:space="preserve">A</t>
  </si>
  <si>
    <t xml:space="preserve">ต้องแก้</t>
  </si>
  <si>
    <t xml:space="preserve">Orders / InStorePickup</t>
  </si>
  <si>
    <t xml:space="preserve">Order_DateTime, Pickup_Time เป็น DATE</t>
  </si>
  <si>
    <t xml:space="preserve">เปลี่ยนเป็น DATETIME</t>
  </si>
  <si>
    <t xml:space="preserve">ไม่มีเวลา จะวิเคราะห์ช่วงเวลาขายดี (peak hour) ไม่ได้ และช่องชื่อ "Time" แต่เก็บได้แค่วันที่</t>
  </si>
  <si>
    <t xml:space="preserve">Do now</t>
  </si>
  <si>
    <t xml:space="preserve">Keep</t>
  </si>
  <si>
    <t xml:space="preserve">Contain → Order_Item</t>
  </si>
  <si>
    <t xml:space="preserve">PK ของ Contain = (Product_ID, Order_ID)</t>
  </si>
  <si>
    <t xml:space="preserve">เปลี่ยนชื่อเป็น Order_Item และใช้ Order_Item_ID เป็น PK</t>
  </si>
  <si>
    <t xml:space="preserve">ออเดอร์เดียวสั่งลาเต้ 2 แก้วที่ใช้นมคนละแบบไม่ได้</t>
  </si>
  <si>
    <t xml:space="preserve">Drop</t>
  </si>
  <si>
    <t xml:space="preserve">Product / Order_Item</t>
  </si>
  <si>
    <t xml:space="preserve">Product ไม่มีราคา</t>
  </si>
  <si>
    <t xml:space="preserve">เพิ่ม Base_Price ใน Product และเก็บ Unit_Price ใน Order_Item ไว้ด้วย</t>
  </si>
  <si>
    <t xml:space="preserve">ต้องรู้ราคาเมนูปัจจุบัน ส่วนราคาใน Order_Item คือราคา ณ วันที่ขาย ซึ่งยังต้องเก็บ เพราะราคาเมนูเปลี่ยนได้</t>
  </si>
  <si>
    <t xml:space="preserve">Later</t>
  </si>
  <si>
    <t xml:space="preserve">Promotion</t>
  </si>
  <si>
    <t xml:space="preserve">Promotion ไม่มีมูลค่าส่วนลด</t>
  </si>
  <si>
    <t xml:space="preserve">เพิ่ม Discount_Value</t>
  </si>
  <si>
    <t xml:space="preserve">ตอนนี้รู้แค่ว่าลดแบบ % แต่ไม่รู้ว่ากี่ %</t>
  </si>
  <si>
    <t xml:space="preserve">เพิ่มชนิด Point_Multiplier สำหรับโปรแต้ม x2</t>
  </si>
  <si>
    <t xml:space="preserve">Not decided</t>
  </si>
  <si>
    <t xml:space="preserve">Orders</t>
  </si>
  <si>
    <t xml:space="preserve">Order_Amount ใส่เอง ไม่ตรงกับรายการสินค้า</t>
  </si>
  <si>
    <t xml:space="preserve">ให้ trigger คำนวณจาก Order_Item (ทำจริงใน Phase 3)</t>
  </si>
  <si>
    <t xml:space="preserve">แก้ปัญหาข้อมูลไม่ตรงกัน เช่น ออเดอร์ 400001 บันทึก 120 แต่รวมรายการได้ 380</t>
  </si>
  <si>
    <t xml:space="preserve">ทำ trigger แล้วใน schema_v2.sql</t>
  </si>
  <si>
    <t xml:space="preserve">Promotion_Status ใส่เอง</t>
  </si>
  <si>
    <t xml:space="preserve">ตัดคอลัมน์นี้ แล้วคำนวณจาก Start_Date / End_Date ผ่าน view</t>
  </si>
  <si>
    <t xml:space="preserve">โปรที่หมดเขต 2025-12-31 ไปแล้วยังขึ้นว่า Active ข้อมูลที่ต้องอัปเดตเองจะล้าสมัยเสมอ</t>
  </si>
  <si>
    <t xml:space="preserve">Member</t>
  </si>
  <si>
    <t xml:space="preserve">E_mail กับเบอร์โทรซ้ำกันได้</t>
  </si>
  <si>
    <t xml:space="preserve">ใส่ UNIQUE</t>
  </si>
  <si>
    <t xml:space="preserve">สมาชิก 2 คนไม่ควรใช้อีเมลเดียวกัน</t>
  </si>
  <si>
    <t xml:space="preserve">B</t>
  </si>
  <si>
    <t xml:space="preserve">เพิ่มให้ตรง business process</t>
  </si>
  <si>
    <t xml:space="preserve">Delivery (ใหม่)</t>
  </si>
  <si>
    <t xml:space="preserve">ไม่มี Delivery; Order_Type มีแค่ 2 แบบ</t>
  </si>
  <si>
    <t xml:space="preserve">ตาราง Delivery (ที่อยู่จัดส่ง, ค่าส่ง, สถานะ) และเพิ่ม 'Delivery' ใน Order_Type</t>
  </si>
  <si>
    <t xml:space="preserve">รายงานบอกว่ามี 3 ช่องทางสั่ง แต่ schema รองรับแค่ 2</t>
  </si>
  <si>
    <t xml:space="preserve">Starbucks_Card (ใหม่)</t>
  </si>
  <si>
    <t xml:space="preserve">ไม่มีตารางบัตร</t>
  </si>
  <si>
    <t xml:space="preserve">ตาราง Starbucks_Card (บัตร, ยอดเงินคงเหลือ, เจ้าของ)</t>
  </si>
  <si>
    <t xml:space="preserve">รายงานบอกว่าสมาชิกมีบัตรได้หลายใบ</t>
  </si>
  <si>
    <t xml:space="preserve">Payment (ใหม่)</t>
  </si>
  <si>
    <t xml:space="preserve">ไม่มีข้อมูลการจ่ายเงิน</t>
  </si>
  <si>
    <t xml:space="preserve">ตาราง Payment (วิธีจ่าย, บัตรที่ใช้, จำนวนเงิน, เวลาจ่าย)</t>
  </si>
  <si>
    <t xml:space="preserve">ตอนนี้ไม่รู้ว่าแต่ละออเดอร์จ่ายด้วยอะไร</t>
  </si>
  <si>
    <t xml:space="preserve">Point_Transaction (ใหม่)</t>
  </si>
  <si>
    <t xml:space="preserve">มีแค่ยอดแต้มรวมใน Member</t>
  </si>
  <si>
    <t xml:space="preserve">ตาราง Point_Transaction (ได้/ใช้แต้มกี่แต้ม, จากออเดอร์ไหน, เมื่อไร)</t>
  </si>
  <si>
    <t xml:space="preserve">ไม่มีประวัติ เลยตรวจสอบย้อนหลังไม่ได้ และเป็นที่ให้ trigger เพิ่มแต้มได้ด้วย</t>
  </si>
  <si>
    <t xml:space="preserve">ใบเสร็จมีส่วนลดแต่ไม่รู้ว่ามาจากโปรไหน</t>
  </si>
  <si>
    <t xml:space="preserve">เพิ่ม Promotion_ID ใน Orders</t>
  </si>
  <si>
    <t xml:space="preserve">จะได้วัดผลโปรโมชันได้</t>
  </si>
  <si>
    <t xml:space="preserve">C</t>
  </si>
  <si>
    <t xml:space="preserve">ปรับคุณภาพ</t>
  </si>
  <si>
    <t xml:space="preserve">ทุกตาราง</t>
  </si>
  <si>
    <t xml:space="preserve">ID กำหนดเอง</t>
  </si>
  <si>
    <t xml:space="preserve">AUTO_INCREMENT</t>
  </si>
  <si>
    <t xml:space="preserve">เป็นมาตรฐาน และต้องใช้ตอนสร้างข้อมูลตัวอย่างจำนวนมาก</t>
  </si>
  <si>
    <t xml:space="preserve">Order → Orders</t>
  </si>
  <si>
    <t xml:space="preserve">ตารางชื่อ `Order`</t>
  </si>
  <si>
    <t xml:space="preserve">เปลี่ยนเป็น Orders</t>
  </si>
  <si>
    <t xml:space="preserve">ORDER เป็นคำสงวนใน SQL ต้องใส่ backtick ทุกครั้ง และลืมง่าย</t>
  </si>
  <si>
    <t xml:space="preserve">Member_Address</t>
  </si>
  <si>
    <t xml:space="preserve">PK คือข้อความที่อยู่ทั้งประโยค</t>
  </si>
  <si>
    <t xml:space="preserve">เพิ่ม Address_ID และแยกเก็บเป็นช่อง</t>
  </si>
  <si>
    <t xml:space="preserve">ข้อความยาวไม่เหมาะเป็น key และพอแก้ที่อยู่ key ก็เปลี่ยนตาม</t>
  </si>
  <si>
    <t xml:space="preserve">Branch</t>
  </si>
  <si>
    <t xml:space="preserve">Opening_Hours เป็นข้อความ</t>
  </si>
  <si>
    <t xml:space="preserve">แยกเป็น Open_Time / Close_Time ชนิด TIME</t>
  </si>
  <si>
    <t xml:space="preserve">จะได้ query ได้ เช่น หาสาขาที่เปิดอยู่ตอนนี้</t>
  </si>
  <si>
    <t xml:space="preserve">D</t>
  </si>
  <si>
    <t xml:space="preserve">ไม่แนะนำตอนนี้</t>
  </si>
  <si>
    <t xml:space="preserve">Order_Item</t>
  </si>
  <si>
    <t xml:space="preserve">Customize เป็นข้อความอิสระ</t>
  </si>
  <si>
    <t xml:space="preserve">แยกเป็นตารางตัวเลือก (ชนิดนม, เพิ่ม shot)</t>
  </si>
  <si>
    <t xml:space="preserve">กันงานบานเกินขอบเขต เก็บไว้ในหัวข้อ "สิ่งที่จะทำต่อ"</t>
  </si>
  <si>
    <t xml:space="preserve">Branch_Manager เป็นแค่ชื่อ</t>
  </si>
  <si>
    <t xml:space="preserve">ตาราง Employee</t>
  </si>
  <si>
    <t xml:space="preserve">Member_Name ช่องเดียว</t>
  </si>
  <si>
    <t xml:space="preserve">แยกเป็นชื่อกับนามสกุล</t>
  </si>
  <si>
    <t xml:space="preserve">ปัญหาที่เจอในไฟล์เดิม (v1)</t>
  </si>
  <si>
    <t xml:space="preserve">Issue</t>
  </si>
  <si>
    <t xml:space="preserve">Where</t>
  </si>
  <si>
    <t xml:space="preserve">Detail</t>
  </si>
  <si>
    <t xml:space="preserve">Fixed by</t>
  </si>
  <si>
    <t xml:space="preserve">Order_Amount ไม่ตรงกับรายการสินค้า</t>
  </si>
  <si>
    <t xml:space="preserve">Orders 400001</t>
  </si>
  <si>
    <t xml:space="preserve">บันทึก Order_Amount = 120 แต่รายการใน Contain รวมได้ 120×1 + 130×2 = 380</t>
  </si>
  <si>
    <t xml:space="preserve">ข้อ 5</t>
  </si>
  <si>
    <t xml:space="preserve">Promotion_Status ล้าสมัย</t>
  </si>
  <si>
    <t xml:space="preserve">Promotion 300003, 300005</t>
  </si>
  <si>
    <t xml:space="preserve">End_Date = 2025-12-31 ผ่านไปแล้ว แต่ยังเป็น Active</t>
  </si>
  <si>
    <t xml:space="preserve">ข้อ 6</t>
  </si>
  <si>
    <t xml:space="preserve">มี Discount_Type แต่ไม่มีช่องเก็บว่าลดเท่าไร</t>
  </si>
  <si>
    <t xml:space="preserve">ข้อ 4</t>
  </si>
  <si>
    <t xml:space="preserve">Product</t>
  </si>
  <si>
    <t xml:space="preserve">ราคามีแค่ใน Contain</t>
  </si>
  <si>
    <t xml:space="preserve">ข้อ 3</t>
  </si>
  <si>
    <t xml:space="preserve">Query รันไม่ผ่าน</t>
  </si>
  <si>
    <t xml:space="preserve">pj2sec02gr09query.sql</t>
  </si>
  <si>
    <t xml:space="preserve">Query 3 (Sirirampa) ใช้ m./o. แต่ไม่มี JOIN · พิมพ์ Poins ผิด · Order_DateTime = CURDATE() · GROUP BY ไม่ครบ</t>
  </si>
  <si>
    <t xml:space="preserve">แก้ใน Phase 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</si>
</sst>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"/>
    <col collapsed="false" customWidth="true" hidden="false" outlineLevel="0" max="4" min="3" style="1" width="22"/>
    <col collapsed="false" customWidth="true" hidden="false" outlineLevel="0" max="5" min="5" style="1" width="32"/>
    <col collapsed="false" customWidth="true" hidden="false" outlineLevel="0" max="6" min="6" style="1" width="40"/>
    <col collapsed="false" customWidth="true" hidden="false" outlineLevel="0" max="7" min="7" style="1" width="48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30"/>
    <col collapsed="false" customWidth="true" hidden="false" outlineLevel="0" max="11" min="11" style="1" width="3"/>
    <col collapsed="false" customWidth="true" hidden="false" outlineLevel="0" max="12" min="12" style="1" width="14"/>
    <col collapsed="false" customWidth="true" hidden="false" outlineLevel="0" max="13" min="13" style="1" width="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L4" s="5" t="s">
        <v>12</v>
      </c>
    </row>
    <row r="5" customFormat="false" ht="48" hidden="false" customHeight="true" outlineLevel="0" collapsed="false">
      <c r="A5" s="6" t="n">
        <v>1</v>
      </c>
      <c r="B5" s="6" t="s">
        <v>13</v>
      </c>
      <c r="C5" s="6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8" t="s">
        <v>20</v>
      </c>
      <c r="J5" s="7"/>
      <c r="L5" s="9" t="s">
        <v>20</v>
      </c>
      <c r="M5" s="9" t="n">
        <f aca="false">COUNTIF($I$5:$I$23,"Keep")</f>
        <v>16</v>
      </c>
    </row>
    <row r="6" customFormat="false" ht="48" hidden="false" customHeight="true" outlineLevel="0" collapsed="false">
      <c r="A6" s="6" t="n">
        <v>2</v>
      </c>
      <c r="B6" s="6" t="s">
        <v>13</v>
      </c>
      <c r="C6" s="6" t="s">
        <v>14</v>
      </c>
      <c r="D6" s="7" t="s">
        <v>21</v>
      </c>
      <c r="E6" s="7" t="s">
        <v>22</v>
      </c>
      <c r="F6" s="7" t="s">
        <v>23</v>
      </c>
      <c r="G6" s="7" t="s">
        <v>24</v>
      </c>
      <c r="H6" s="7" t="s">
        <v>19</v>
      </c>
      <c r="I6" s="8" t="s">
        <v>20</v>
      </c>
      <c r="J6" s="7"/>
      <c r="L6" s="9" t="s">
        <v>25</v>
      </c>
      <c r="M6" s="9" t="n">
        <f aca="false">COUNTIF($I$5:$I$23,"Drop")</f>
        <v>0</v>
      </c>
    </row>
    <row r="7" customFormat="false" ht="48" hidden="false" customHeight="true" outlineLevel="0" collapsed="false">
      <c r="A7" s="6" t="n">
        <v>3</v>
      </c>
      <c r="B7" s="6" t="s">
        <v>13</v>
      </c>
      <c r="C7" s="6" t="s">
        <v>14</v>
      </c>
      <c r="D7" s="7" t="s">
        <v>26</v>
      </c>
      <c r="E7" s="7" t="s">
        <v>27</v>
      </c>
      <c r="F7" s="7" t="s">
        <v>28</v>
      </c>
      <c r="G7" s="7" t="s">
        <v>29</v>
      </c>
      <c r="H7" s="7" t="s">
        <v>19</v>
      </c>
      <c r="I7" s="8" t="s">
        <v>20</v>
      </c>
      <c r="J7" s="7"/>
      <c r="L7" s="9" t="s">
        <v>30</v>
      </c>
      <c r="M7" s="9" t="n">
        <f aca="false">COUNTIF($I$5:$I$23,"Later")</f>
        <v>3</v>
      </c>
    </row>
    <row r="8" customFormat="false" ht="48" hidden="false" customHeight="true" outlineLevel="0" collapsed="false">
      <c r="A8" s="6" t="n">
        <v>4</v>
      </c>
      <c r="B8" s="6" t="s">
        <v>13</v>
      </c>
      <c r="C8" s="6" t="s">
        <v>14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19</v>
      </c>
      <c r="I8" s="8" t="s">
        <v>20</v>
      </c>
      <c r="J8" s="7" t="s">
        <v>35</v>
      </c>
      <c r="L8" s="9" t="s">
        <v>36</v>
      </c>
      <c r="M8" s="9" t="n">
        <f aca="false">COUNTA(A5:A23)-SUM(M5:M7)</f>
        <v>0</v>
      </c>
    </row>
    <row r="9" customFormat="false" ht="48" hidden="false" customHeight="true" outlineLevel="0" collapsed="false">
      <c r="A9" s="6" t="n">
        <v>5</v>
      </c>
      <c r="B9" s="6" t="s">
        <v>13</v>
      </c>
      <c r="C9" s="6" t="s">
        <v>14</v>
      </c>
      <c r="D9" s="7" t="s">
        <v>37</v>
      </c>
      <c r="E9" s="7" t="s">
        <v>38</v>
      </c>
      <c r="F9" s="7" t="s">
        <v>39</v>
      </c>
      <c r="G9" s="7" t="s">
        <v>40</v>
      </c>
      <c r="H9" s="7" t="s">
        <v>19</v>
      </c>
      <c r="I9" s="8" t="s">
        <v>20</v>
      </c>
      <c r="J9" s="7" t="s">
        <v>41</v>
      </c>
    </row>
    <row r="10" customFormat="false" ht="48" hidden="false" customHeight="true" outlineLevel="0" collapsed="false">
      <c r="A10" s="6" t="n">
        <v>6</v>
      </c>
      <c r="B10" s="6" t="s">
        <v>13</v>
      </c>
      <c r="C10" s="6" t="s">
        <v>14</v>
      </c>
      <c r="D10" s="7" t="s">
        <v>31</v>
      </c>
      <c r="E10" s="7" t="s">
        <v>42</v>
      </c>
      <c r="F10" s="7" t="s">
        <v>43</v>
      </c>
      <c r="G10" s="7" t="s">
        <v>44</v>
      </c>
      <c r="H10" s="7" t="s">
        <v>19</v>
      </c>
      <c r="I10" s="8" t="s">
        <v>20</v>
      </c>
      <c r="J10" s="7"/>
    </row>
    <row r="11" customFormat="false" ht="48" hidden="false" customHeight="true" outlineLevel="0" collapsed="false">
      <c r="A11" s="6" t="n">
        <v>7</v>
      </c>
      <c r="B11" s="6" t="s">
        <v>13</v>
      </c>
      <c r="C11" s="6" t="s">
        <v>14</v>
      </c>
      <c r="D11" s="7" t="s">
        <v>45</v>
      </c>
      <c r="E11" s="7" t="s">
        <v>46</v>
      </c>
      <c r="F11" s="7" t="s">
        <v>47</v>
      </c>
      <c r="G11" s="7" t="s">
        <v>48</v>
      </c>
      <c r="H11" s="7" t="s">
        <v>19</v>
      </c>
      <c r="I11" s="8" t="s">
        <v>20</v>
      </c>
      <c r="J11" s="7"/>
    </row>
    <row r="12" customFormat="false" ht="48" hidden="false" customHeight="true" outlineLevel="0" collapsed="false">
      <c r="A12" s="10" t="n">
        <v>8</v>
      </c>
      <c r="B12" s="10" t="s">
        <v>49</v>
      </c>
      <c r="C12" s="10" t="s">
        <v>50</v>
      </c>
      <c r="D12" s="7" t="s">
        <v>51</v>
      </c>
      <c r="E12" s="7" t="s">
        <v>52</v>
      </c>
      <c r="F12" s="7" t="s">
        <v>53</v>
      </c>
      <c r="G12" s="7" t="s">
        <v>54</v>
      </c>
      <c r="H12" s="7" t="s">
        <v>19</v>
      </c>
      <c r="I12" s="8" t="s">
        <v>20</v>
      </c>
      <c r="J12" s="7"/>
    </row>
    <row r="13" customFormat="false" ht="48" hidden="false" customHeight="true" outlineLevel="0" collapsed="false">
      <c r="A13" s="10" t="n">
        <v>9</v>
      </c>
      <c r="B13" s="10" t="s">
        <v>49</v>
      </c>
      <c r="C13" s="10" t="s">
        <v>50</v>
      </c>
      <c r="D13" s="7" t="s">
        <v>55</v>
      </c>
      <c r="E13" s="7" t="s">
        <v>56</v>
      </c>
      <c r="F13" s="7" t="s">
        <v>57</v>
      </c>
      <c r="G13" s="7" t="s">
        <v>58</v>
      </c>
      <c r="H13" s="7" t="s">
        <v>19</v>
      </c>
      <c r="I13" s="8" t="s">
        <v>20</v>
      </c>
      <c r="J13" s="7"/>
    </row>
    <row r="14" customFormat="false" ht="48" hidden="false" customHeight="true" outlineLevel="0" collapsed="false">
      <c r="A14" s="10" t="n">
        <v>10</v>
      </c>
      <c r="B14" s="10" t="s">
        <v>49</v>
      </c>
      <c r="C14" s="10" t="s">
        <v>50</v>
      </c>
      <c r="D14" s="7" t="s">
        <v>59</v>
      </c>
      <c r="E14" s="7" t="s">
        <v>60</v>
      </c>
      <c r="F14" s="7" t="s">
        <v>61</v>
      </c>
      <c r="G14" s="7" t="s">
        <v>62</v>
      </c>
      <c r="H14" s="7" t="s">
        <v>19</v>
      </c>
      <c r="I14" s="8" t="s">
        <v>20</v>
      </c>
      <c r="J14" s="7"/>
    </row>
    <row r="15" customFormat="false" ht="48" hidden="false" customHeight="true" outlineLevel="0" collapsed="false">
      <c r="A15" s="10" t="n">
        <v>11</v>
      </c>
      <c r="B15" s="10" t="s">
        <v>49</v>
      </c>
      <c r="C15" s="10" t="s">
        <v>50</v>
      </c>
      <c r="D15" s="7" t="s">
        <v>63</v>
      </c>
      <c r="E15" s="7" t="s">
        <v>64</v>
      </c>
      <c r="F15" s="7" t="s">
        <v>65</v>
      </c>
      <c r="G15" s="7" t="s">
        <v>66</v>
      </c>
      <c r="H15" s="7" t="s">
        <v>19</v>
      </c>
      <c r="I15" s="8" t="s">
        <v>20</v>
      </c>
      <c r="J15" s="7"/>
    </row>
    <row r="16" customFormat="false" ht="48" hidden="false" customHeight="true" outlineLevel="0" collapsed="false">
      <c r="A16" s="10" t="n">
        <v>12</v>
      </c>
      <c r="B16" s="10" t="s">
        <v>49</v>
      </c>
      <c r="C16" s="10" t="s">
        <v>50</v>
      </c>
      <c r="D16" s="7" t="s">
        <v>37</v>
      </c>
      <c r="E16" s="7" t="s">
        <v>67</v>
      </c>
      <c r="F16" s="7" t="s">
        <v>68</v>
      </c>
      <c r="G16" s="7" t="s">
        <v>69</v>
      </c>
      <c r="H16" s="7" t="s">
        <v>19</v>
      </c>
      <c r="I16" s="8" t="s">
        <v>20</v>
      </c>
      <c r="J16" s="7"/>
    </row>
    <row r="17" customFormat="false" ht="48" hidden="false" customHeight="true" outlineLevel="0" collapsed="false">
      <c r="A17" s="11" t="n">
        <v>13</v>
      </c>
      <c r="B17" s="11" t="s">
        <v>70</v>
      </c>
      <c r="C17" s="11" t="s">
        <v>71</v>
      </c>
      <c r="D17" s="7" t="s">
        <v>72</v>
      </c>
      <c r="E17" s="7" t="s">
        <v>73</v>
      </c>
      <c r="F17" s="7" t="s">
        <v>74</v>
      </c>
      <c r="G17" s="7" t="s">
        <v>75</v>
      </c>
      <c r="H17" s="7" t="s">
        <v>19</v>
      </c>
      <c r="I17" s="8" t="s">
        <v>20</v>
      </c>
      <c r="J17" s="7"/>
    </row>
    <row r="18" customFormat="false" ht="48" hidden="false" customHeight="true" outlineLevel="0" collapsed="false">
      <c r="A18" s="11" t="n">
        <v>14</v>
      </c>
      <c r="B18" s="11" t="s">
        <v>70</v>
      </c>
      <c r="C18" s="11" t="s">
        <v>71</v>
      </c>
      <c r="D18" s="7" t="s">
        <v>76</v>
      </c>
      <c r="E18" s="7" t="s">
        <v>77</v>
      </c>
      <c r="F18" s="7" t="s">
        <v>78</v>
      </c>
      <c r="G18" s="7" t="s">
        <v>79</v>
      </c>
      <c r="H18" s="7" t="s">
        <v>19</v>
      </c>
      <c r="I18" s="8" t="s">
        <v>20</v>
      </c>
      <c r="J18" s="7"/>
    </row>
    <row r="19" customFormat="false" ht="48" hidden="false" customHeight="true" outlineLevel="0" collapsed="false">
      <c r="A19" s="11" t="n">
        <v>15</v>
      </c>
      <c r="B19" s="11" t="s">
        <v>70</v>
      </c>
      <c r="C19" s="11" t="s">
        <v>71</v>
      </c>
      <c r="D19" s="7" t="s">
        <v>80</v>
      </c>
      <c r="E19" s="7" t="s">
        <v>81</v>
      </c>
      <c r="F19" s="7" t="s">
        <v>82</v>
      </c>
      <c r="G19" s="7" t="s">
        <v>83</v>
      </c>
      <c r="H19" s="7" t="s">
        <v>19</v>
      </c>
      <c r="I19" s="8" t="s">
        <v>20</v>
      </c>
      <c r="J19" s="7"/>
    </row>
    <row r="20" customFormat="false" ht="48" hidden="false" customHeight="true" outlineLevel="0" collapsed="false">
      <c r="A20" s="11" t="n">
        <v>16</v>
      </c>
      <c r="B20" s="11" t="s">
        <v>70</v>
      </c>
      <c r="C20" s="11" t="s">
        <v>71</v>
      </c>
      <c r="D20" s="7" t="s">
        <v>84</v>
      </c>
      <c r="E20" s="7" t="s">
        <v>85</v>
      </c>
      <c r="F20" s="7" t="s">
        <v>86</v>
      </c>
      <c r="G20" s="7" t="s">
        <v>87</v>
      </c>
      <c r="H20" s="7" t="s">
        <v>19</v>
      </c>
      <c r="I20" s="8" t="s">
        <v>20</v>
      </c>
      <c r="J20" s="7"/>
    </row>
    <row r="21" customFormat="false" ht="48" hidden="false" customHeight="true" outlineLevel="0" collapsed="false">
      <c r="A21" s="12" t="n">
        <v>17</v>
      </c>
      <c r="B21" s="12" t="s">
        <v>88</v>
      </c>
      <c r="C21" s="12" t="s">
        <v>89</v>
      </c>
      <c r="D21" s="7" t="s">
        <v>90</v>
      </c>
      <c r="E21" s="7" t="s">
        <v>91</v>
      </c>
      <c r="F21" s="7" t="s">
        <v>92</v>
      </c>
      <c r="G21" s="7" t="s">
        <v>93</v>
      </c>
      <c r="H21" s="7" t="s">
        <v>30</v>
      </c>
      <c r="I21" s="8" t="s">
        <v>30</v>
      </c>
      <c r="J21" s="7"/>
    </row>
    <row r="22" customFormat="false" ht="48" hidden="false" customHeight="true" outlineLevel="0" collapsed="false">
      <c r="A22" s="12" t="n">
        <v>18</v>
      </c>
      <c r="B22" s="12" t="s">
        <v>88</v>
      </c>
      <c r="C22" s="12" t="s">
        <v>89</v>
      </c>
      <c r="D22" s="7" t="s">
        <v>84</v>
      </c>
      <c r="E22" s="7" t="s">
        <v>94</v>
      </c>
      <c r="F22" s="7" t="s">
        <v>95</v>
      </c>
      <c r="G22" s="7" t="s">
        <v>93</v>
      </c>
      <c r="H22" s="7" t="s">
        <v>30</v>
      </c>
      <c r="I22" s="8" t="s">
        <v>30</v>
      </c>
      <c r="J22" s="7"/>
    </row>
    <row r="23" customFormat="false" ht="48" hidden="false" customHeight="true" outlineLevel="0" collapsed="false">
      <c r="A23" s="12" t="n">
        <v>19</v>
      </c>
      <c r="B23" s="12" t="s">
        <v>88</v>
      </c>
      <c r="C23" s="12" t="s">
        <v>89</v>
      </c>
      <c r="D23" s="7" t="s">
        <v>45</v>
      </c>
      <c r="E23" s="7" t="s">
        <v>96</v>
      </c>
      <c r="F23" s="7" t="s">
        <v>97</v>
      </c>
      <c r="G23" s="7" t="s">
        <v>93</v>
      </c>
      <c r="H23" s="7" t="s">
        <v>30</v>
      </c>
      <c r="I23" s="8" t="s">
        <v>30</v>
      </c>
      <c r="J23" s="7"/>
    </row>
  </sheetData>
  <autoFilter ref="A4:J23"/>
  <dataValidations count="1">
    <dataValidation allowBlank="true" errorStyle="stop" operator="between" showDropDown="false" showErrorMessage="false" showInputMessage="false" sqref="I5:I23" type="list">
      <formula1>"Keep,Drop,Later"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4"/>
  </cols>
  <sheetData>
    <row r="1" customFormat="false" ht="16.5" hidden="false" customHeight="true" outlineLevel="0" collapsed="false">
      <c r="A1" s="2" t="s">
        <v>98</v>
      </c>
    </row>
    <row r="3" customFormat="false" ht="15" hidden="false" customHeight="true" outlineLevel="0" collapsed="false">
      <c r="A3" s="13" t="s">
        <v>99</v>
      </c>
      <c r="B3" s="13" t="s">
        <v>100</v>
      </c>
      <c r="C3" s="13" t="s">
        <v>101</v>
      </c>
      <c r="D3" s="13" t="s">
        <v>102</v>
      </c>
    </row>
    <row r="4" customFormat="false" ht="23.25" hidden="false" customHeight="true" outlineLevel="0" collapsed="false">
      <c r="A4" s="7" t="s">
        <v>103</v>
      </c>
      <c r="B4" s="7" t="s">
        <v>104</v>
      </c>
      <c r="C4" s="7" t="s">
        <v>105</v>
      </c>
      <c r="D4" s="7" t="s">
        <v>106</v>
      </c>
    </row>
    <row r="5" customFormat="false" ht="15" hidden="false" customHeight="true" outlineLevel="0" collapsed="false">
      <c r="A5" s="7" t="s">
        <v>107</v>
      </c>
      <c r="B5" s="7" t="s">
        <v>108</v>
      </c>
      <c r="C5" s="7" t="s">
        <v>109</v>
      </c>
      <c r="D5" s="7" t="s">
        <v>110</v>
      </c>
    </row>
    <row r="6" customFormat="false" ht="15" hidden="false" customHeight="true" outlineLevel="0" collapsed="false">
      <c r="A6" s="7" t="s">
        <v>32</v>
      </c>
      <c r="B6" s="7" t="s">
        <v>31</v>
      </c>
      <c r="C6" s="7" t="s">
        <v>111</v>
      </c>
      <c r="D6" s="7" t="s">
        <v>112</v>
      </c>
    </row>
    <row r="7" customFormat="false" ht="15" hidden="false" customHeight="true" outlineLevel="0" collapsed="false">
      <c r="A7" s="7" t="s">
        <v>27</v>
      </c>
      <c r="B7" s="7" t="s">
        <v>113</v>
      </c>
      <c r="C7" s="7" t="s">
        <v>114</v>
      </c>
      <c r="D7" s="7" t="s">
        <v>115</v>
      </c>
    </row>
    <row r="8" customFormat="false" ht="23.25" hidden="false" customHeight="true" outlineLevel="0" collapsed="false">
      <c r="A8" s="7" t="s">
        <v>116</v>
      </c>
      <c r="B8" s="7" t="s">
        <v>117</v>
      </c>
      <c r="C8" s="7" t="s">
        <v>118</v>
      </c>
      <c r="D8" s="7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2026-10-13T06:50:21Z</dcterms:created>
  <dc:creator>openpyxl</dc:creator>
  <dc:description/>
  <dc:language>en-US</dc:language>
  <cp:lastModifiedBy/>
  <dcterms:modified xsi:type="dcterms:W3CDTF">2026-10-13T06:55:22Z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